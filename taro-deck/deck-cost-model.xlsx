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чёт колод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модель</author>
  </authors>
  <commentList>
    <comment ref="A14" authorId="0">
      <text>
        <r>
          <rPr>
            <sz val="10"/>
            <rFont val="Arial"/>
            <family val="2"/>
          </rPr>
          <t xml:space="preserve">Ориентир: авторские/премиум колоды на маркетплейсах 1500-4000 руб. Средняя колода на Ozon/WB около 680 руб.</t>
        </r>
      </text>
    </comment>
  </commentList>
</comments>
</file>

<file path=xl/sharedStrings.xml><?xml version="1.0" encoding="utf-8"?>
<sst xmlns="http://schemas.openxmlformats.org/spreadsheetml/2006/main" count="38" uniqueCount="35">
  <si>
    <t xml:space="preserve">Себестоимость колоды таро с гравировкой: 22 аркана и полная 78</t>
  </si>
  <si>
    <t xml:space="preserve">Первая партия с красивой гравировкой (тиснение фольгой на коробке + золочение обреза). Синие ячейки можно менять. Дата: 22.07.2026</t>
  </si>
  <si>
    <t xml:space="preserve">Колода 22 аркана</t>
  </si>
  <si>
    <t xml:space="preserve">Полная колода 78 карт</t>
  </si>
  <si>
    <t xml:space="preserve">Параметр</t>
  </si>
  <si>
    <t xml:space="preserve">50 шт</t>
  </si>
  <si>
    <t xml:space="preserve">100 шт</t>
  </si>
  <si>
    <t xml:space="preserve">300 шт</t>
  </si>
  <si>
    <t xml:space="preserve">ВХОДНЫЕ ДАННЫЕ  (меняй синие цифры)</t>
  </si>
  <si>
    <t xml:space="preserve">Карт в колоде</t>
  </si>
  <si>
    <t xml:space="preserve">Тираж партии, шт</t>
  </si>
  <si>
    <t xml:space="preserve">Печать за колоду</t>
  </si>
  <si>
    <t xml:space="preserve">Гравировка за колоду (тиснение фольгой + золочение обреза)</t>
  </si>
  <si>
    <t xml:space="preserve">Коробка за колоду</t>
  </si>
  <si>
    <t xml:space="preserve">Штамп высечки (разово на всю партию)</t>
  </si>
  <si>
    <t xml:space="preserve">Клише тиснения (разово на всю партию)</t>
  </si>
  <si>
    <t xml:space="preserve">Цена продажи за колоду</t>
  </si>
  <si>
    <t xml:space="preserve">РАСЧЁТ  (считается автоматически)</t>
  </si>
  <si>
    <t xml:space="preserve">Производство за колоду (печать + гравировка + коробка)</t>
  </si>
  <si>
    <t xml:space="preserve">Разовые затраты всего (штамп + клише)</t>
  </si>
  <si>
    <t xml:space="preserve">Разовые в пересчёте на одну колоду</t>
  </si>
  <si>
    <t xml:space="preserve">ПОЛНАЯ СЕБЕСТОИМОСТЬ ЗА КОЛОДУ</t>
  </si>
  <si>
    <t xml:space="preserve">Маржа с колоды (цена минус себестоимость)</t>
  </si>
  <si>
    <t xml:space="preserve">Маржа, %</t>
  </si>
  <si>
    <t xml:space="preserve">Вложения во всю партию (сколько нужно денег)</t>
  </si>
  <si>
    <t xml:space="preserve">Выручка, если продать всю партию</t>
  </si>
  <si>
    <t xml:space="preserve">Прибыль, если продать всю партию</t>
  </si>
  <si>
    <t xml:space="preserve">Точка окупаемости, сколько колод продать</t>
  </si>
  <si>
    <t xml:space="preserve">Как читать</t>
  </si>
  <si>
    <t xml:space="preserve">•  Синие цифры это вводные, меняй под реальный счёт типографии (Юкард считает за 1-2 часа).</t>
  </si>
  <si>
    <t xml:space="preserve">•  Гравировка = тиснение фольгой на коробке плюс золочение обреза карт, это и есть премиум-вид.</t>
  </si>
  <si>
    <t xml:space="preserve">•  Штамп высечки нужен под нестандартный размер таро. Если взять стандартный размер, эти 10 000 уходят и себестоимость падает.</t>
  </si>
  <si>
    <t xml:space="preserve">•  Разовые затраты (штамп + клише) на маленьком тираже сильно давят на цену, поэтому 50 штук дороже всего за колоду.</t>
  </si>
  <si>
    <t xml:space="preserve">•  Цены продажи: 22 аркана 1600 руб, полная 3500 руб, это премиум-ориентир по маркетплейсам. Средняя колода там около 680 руб.</t>
  </si>
  <si>
    <t xml:space="preserve">Источники по ценам: Forbes (рынок таро), Ozon/WB (розница), казанские типографии Юкард и Гуд Принт, печать колод от 50 шт (atmos-fera).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</si>
</sst>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&quot; ₽&quot;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A1A18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44441"/>
      <name val="Arial"/>
      <family val="0"/>
      <charset val="1"/>
    </font>
    <font>
      <i val="true"/>
      <sz val="8"/>
      <color rgb="FF8A8A86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F5EE"/>
        <bgColor rgb="FFEEEDFE"/>
      </patternFill>
    </fill>
    <fill>
      <patternFill patternType="solid">
        <fgColor rgb="FFEEEDFE"/>
        <bgColor rgb="FFEDEBFF"/>
      </patternFill>
    </fill>
    <fill>
      <patternFill patternType="solid">
        <fgColor rgb="FF3A3A3A"/>
        <bgColor rgb="FF444441"/>
      </patternFill>
    </fill>
    <fill>
      <patternFill patternType="solid">
        <fgColor rgb="FFEDEBFF"/>
        <bgColor rgb="FFEEEDFE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A86"/>
      <rgbColor rgb="FF9999FF"/>
      <rgbColor rgb="FF993366"/>
      <rgbColor rgb="FFFFF6CC"/>
      <rgbColor rgb="FFE1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EDEBF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1A1A18"/>
      <rgbColor rgb="FF993300"/>
      <rgbColor rgb="FF993366"/>
      <rgbColor rgb="FF444441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"/>
    <col collapsed="false" customWidth="true" hidden="false" outlineLevel="0" max="8" min="3" style="1" width="13"/>
  </cols>
  <sheetData>
    <row r="1" customFormat="false" ht="18.5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B3" s="4"/>
      <c r="C3" s="5" t="s">
        <v>2</v>
      </c>
      <c r="D3" s="5"/>
      <c r="E3" s="5"/>
      <c r="F3" s="6" t="s">
        <v>3</v>
      </c>
      <c r="G3" s="6"/>
      <c r="H3" s="6"/>
    </row>
    <row r="4" customFormat="false" ht="15" hidden="false" customHeight="false" outlineLevel="0" collapsed="false">
      <c r="A4" s="7" t="s">
        <v>4</v>
      </c>
      <c r="B4" s="8"/>
      <c r="C4" s="9" t="s">
        <v>5</v>
      </c>
      <c r="D4" s="9" t="s">
        <v>6</v>
      </c>
      <c r="E4" s="9" t="s">
        <v>7</v>
      </c>
      <c r="F4" s="9" t="s">
        <v>5</v>
      </c>
      <c r="G4" s="9" t="s">
        <v>6</v>
      </c>
      <c r="H4" s="9" t="s">
        <v>7</v>
      </c>
    </row>
    <row r="6" customFormat="false" ht="15" hidden="false" customHeight="false" outlineLevel="0" collapsed="false">
      <c r="A6" s="10" t="s">
        <v>8</v>
      </c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12" t="s">
        <v>9</v>
      </c>
      <c r="B7" s="4"/>
      <c r="C7" s="13" t="n">
        <v>22</v>
      </c>
      <c r="D7" s="13" t="n">
        <v>22</v>
      </c>
      <c r="E7" s="13" t="n">
        <v>22</v>
      </c>
      <c r="F7" s="13" t="n">
        <v>78</v>
      </c>
      <c r="G7" s="13" t="n">
        <v>78</v>
      </c>
      <c r="H7" s="13" t="n">
        <v>78</v>
      </c>
    </row>
    <row r="8" customFormat="false" ht="15" hidden="false" customHeight="false" outlineLevel="0" collapsed="false">
      <c r="A8" s="12" t="s">
        <v>10</v>
      </c>
      <c r="B8" s="4"/>
      <c r="C8" s="13" t="n">
        <v>50</v>
      </c>
      <c r="D8" s="13" t="n">
        <v>100</v>
      </c>
      <c r="E8" s="13" t="n">
        <v>300</v>
      </c>
      <c r="F8" s="13" t="n">
        <v>50</v>
      </c>
      <c r="G8" s="13" t="n">
        <v>100</v>
      </c>
      <c r="H8" s="13" t="n">
        <v>300</v>
      </c>
    </row>
    <row r="9" customFormat="false" ht="15" hidden="false" customHeight="false" outlineLevel="0" collapsed="false">
      <c r="A9" s="12" t="s">
        <v>11</v>
      </c>
      <c r="B9" s="4"/>
      <c r="C9" s="14" t="n">
        <v>650</v>
      </c>
      <c r="D9" s="14" t="n">
        <v>520</v>
      </c>
      <c r="E9" s="14" t="n">
        <v>380</v>
      </c>
      <c r="F9" s="14" t="n">
        <v>1850</v>
      </c>
      <c r="G9" s="14" t="n">
        <v>1450</v>
      </c>
      <c r="H9" s="14" t="n">
        <v>1120</v>
      </c>
    </row>
    <row r="10" customFormat="false" ht="23.85" hidden="false" customHeight="false" outlineLevel="0" collapsed="false">
      <c r="A10" s="12" t="s">
        <v>12</v>
      </c>
      <c r="B10" s="4"/>
      <c r="C10" s="14" t="n">
        <v>380</v>
      </c>
      <c r="D10" s="14" t="n">
        <v>320</v>
      </c>
      <c r="E10" s="14" t="n">
        <v>260</v>
      </c>
      <c r="F10" s="14" t="n">
        <v>430</v>
      </c>
      <c r="G10" s="14" t="n">
        <v>360</v>
      </c>
      <c r="H10" s="14" t="n">
        <v>300</v>
      </c>
    </row>
    <row r="11" customFormat="false" ht="15" hidden="false" customHeight="false" outlineLevel="0" collapsed="false">
      <c r="A11" s="12" t="s">
        <v>13</v>
      </c>
      <c r="B11" s="4"/>
      <c r="C11" s="14" t="n">
        <v>190</v>
      </c>
      <c r="D11" s="14" t="n">
        <v>160</v>
      </c>
      <c r="E11" s="14" t="n">
        <v>120</v>
      </c>
      <c r="F11" s="14" t="n">
        <v>230</v>
      </c>
      <c r="G11" s="14" t="n">
        <v>190</v>
      </c>
      <c r="H11" s="14" t="n">
        <v>140</v>
      </c>
    </row>
    <row r="12" customFormat="false" ht="15" hidden="false" customHeight="false" outlineLevel="0" collapsed="false">
      <c r="A12" s="12" t="s">
        <v>14</v>
      </c>
      <c r="B12" s="4"/>
      <c r="C12" s="14" t="n">
        <v>10000</v>
      </c>
      <c r="D12" s="14" t="n">
        <v>10000</v>
      </c>
      <c r="E12" s="14" t="n">
        <v>10000</v>
      </c>
      <c r="F12" s="14" t="n">
        <v>10000</v>
      </c>
      <c r="G12" s="14" t="n">
        <v>10000</v>
      </c>
      <c r="H12" s="14" t="n">
        <v>10000</v>
      </c>
    </row>
    <row r="13" customFormat="false" ht="15" hidden="false" customHeight="false" outlineLevel="0" collapsed="false">
      <c r="A13" s="12" t="s">
        <v>15</v>
      </c>
      <c r="B13" s="4"/>
      <c r="C13" s="14" t="n">
        <v>4000</v>
      </c>
      <c r="D13" s="14" t="n">
        <v>4000</v>
      </c>
      <c r="E13" s="14" t="n">
        <v>4000</v>
      </c>
      <c r="F13" s="14" t="n">
        <v>4000</v>
      </c>
      <c r="G13" s="14" t="n">
        <v>4000</v>
      </c>
      <c r="H13" s="14" t="n">
        <v>4000</v>
      </c>
    </row>
    <row r="14" customFormat="false" ht="15" hidden="false" customHeight="false" outlineLevel="0" collapsed="false">
      <c r="A14" s="12" t="s">
        <v>16</v>
      </c>
      <c r="B14" s="4"/>
      <c r="C14" s="14" t="n">
        <v>1600</v>
      </c>
      <c r="D14" s="14" t="n">
        <v>1600</v>
      </c>
      <c r="E14" s="14" t="n">
        <v>1600</v>
      </c>
      <c r="F14" s="14" t="n">
        <v>3500</v>
      </c>
      <c r="G14" s="14" t="n">
        <v>3500</v>
      </c>
      <c r="H14" s="14" t="n">
        <v>3500</v>
      </c>
    </row>
    <row r="16" customFormat="false" ht="15" hidden="false" customHeight="false" outlineLevel="0" collapsed="false">
      <c r="A16" s="10" t="s">
        <v>17</v>
      </c>
      <c r="B16" s="11"/>
      <c r="C16" s="11"/>
      <c r="D16" s="11"/>
      <c r="E16" s="11"/>
      <c r="F16" s="11"/>
      <c r="G16" s="11"/>
      <c r="H16" s="11"/>
    </row>
    <row r="17" customFormat="false" ht="23.85" hidden="false" customHeight="false" outlineLevel="0" collapsed="false">
      <c r="A17" s="12" t="s">
        <v>18</v>
      </c>
      <c r="B17" s="4"/>
      <c r="C17" s="15" t="n">
        <f aca="false">C9+C10+C11</f>
        <v>1220</v>
      </c>
      <c r="D17" s="15" t="n">
        <f aca="false">D9+D10+D11</f>
        <v>1000</v>
      </c>
      <c r="E17" s="15" t="n">
        <f aca="false">E9+E10+E11</f>
        <v>760</v>
      </c>
      <c r="F17" s="15" t="n">
        <f aca="false">F9+F10+F11</f>
        <v>2510</v>
      </c>
      <c r="G17" s="15" t="n">
        <f aca="false">G9+G10+G11</f>
        <v>2000</v>
      </c>
      <c r="H17" s="15" t="n">
        <f aca="false">H9+H10+H11</f>
        <v>1560</v>
      </c>
    </row>
    <row r="18" customFormat="false" ht="15" hidden="false" customHeight="false" outlineLevel="0" collapsed="false">
      <c r="A18" s="12" t="s">
        <v>19</v>
      </c>
      <c r="B18" s="4"/>
      <c r="C18" s="15" t="n">
        <f aca="false">C12+C13</f>
        <v>14000</v>
      </c>
      <c r="D18" s="15" t="n">
        <f aca="false">D12+D13</f>
        <v>14000</v>
      </c>
      <c r="E18" s="15" t="n">
        <f aca="false">E12+E13</f>
        <v>14000</v>
      </c>
      <c r="F18" s="15" t="n">
        <f aca="false">F12+F13</f>
        <v>14000</v>
      </c>
      <c r="G18" s="15" t="n">
        <f aca="false">G12+G13</f>
        <v>14000</v>
      </c>
      <c r="H18" s="15" t="n">
        <f aca="false">H12+H13</f>
        <v>14000</v>
      </c>
    </row>
    <row r="19" customFormat="false" ht="15" hidden="false" customHeight="false" outlineLevel="0" collapsed="false">
      <c r="A19" s="12" t="s">
        <v>20</v>
      </c>
      <c r="B19" s="4"/>
      <c r="C19" s="15" t="n">
        <f aca="false">C18/C8</f>
        <v>280</v>
      </c>
      <c r="D19" s="15" t="n">
        <f aca="false">D18/D8</f>
        <v>140</v>
      </c>
      <c r="E19" s="15" t="n">
        <f aca="false">E18/E8</f>
        <v>46.6666666666667</v>
      </c>
      <c r="F19" s="15" t="n">
        <f aca="false">F18/F8</f>
        <v>280</v>
      </c>
      <c r="G19" s="15" t="n">
        <f aca="false">G18/G8</f>
        <v>140</v>
      </c>
      <c r="H19" s="15" t="n">
        <f aca="false">H18/H8</f>
        <v>46.6666666666667</v>
      </c>
    </row>
    <row r="20" customFormat="false" ht="15" hidden="false" customHeight="false" outlineLevel="0" collapsed="false">
      <c r="A20" s="16" t="s">
        <v>21</v>
      </c>
      <c r="B20" s="4"/>
      <c r="C20" s="17" t="n">
        <f aca="false">C17+C19</f>
        <v>1500</v>
      </c>
      <c r="D20" s="17" t="n">
        <f aca="false">D17+D19</f>
        <v>1140</v>
      </c>
      <c r="E20" s="17" t="n">
        <f aca="false">E17+E19</f>
        <v>806.666666666667</v>
      </c>
      <c r="F20" s="17" t="n">
        <f aca="false">F17+F19</f>
        <v>2790</v>
      </c>
      <c r="G20" s="17" t="n">
        <f aca="false">G17+G19</f>
        <v>2140</v>
      </c>
      <c r="H20" s="17" t="n">
        <f aca="false">H17+H19</f>
        <v>1606.66666666667</v>
      </c>
    </row>
    <row r="21" customFormat="false" ht="15" hidden="false" customHeight="false" outlineLevel="0" collapsed="false">
      <c r="A21" s="16" t="s">
        <v>22</v>
      </c>
      <c r="B21" s="4"/>
      <c r="C21" s="17" t="n">
        <f aca="false">C14-C20</f>
        <v>100</v>
      </c>
      <c r="D21" s="17" t="n">
        <f aca="false">D14-D20</f>
        <v>460</v>
      </c>
      <c r="E21" s="17" t="n">
        <f aca="false">E14-E20</f>
        <v>793.333333333333</v>
      </c>
      <c r="F21" s="17" t="n">
        <f aca="false">F14-F20</f>
        <v>710</v>
      </c>
      <c r="G21" s="17" t="n">
        <f aca="false">G14-G20</f>
        <v>1360</v>
      </c>
      <c r="H21" s="17" t="n">
        <f aca="false">H14-H20</f>
        <v>1893.33333333333</v>
      </c>
    </row>
    <row r="22" customFormat="false" ht="15" hidden="false" customHeight="false" outlineLevel="0" collapsed="false">
      <c r="A22" s="12" t="s">
        <v>23</v>
      </c>
      <c r="B22" s="4"/>
      <c r="C22" s="18" t="n">
        <f aca="false">C21/C14</f>
        <v>0.0625</v>
      </c>
      <c r="D22" s="18" t="n">
        <f aca="false">D21/D14</f>
        <v>0.2875</v>
      </c>
      <c r="E22" s="18" t="n">
        <f aca="false">E21/E14</f>
        <v>0.495833333333333</v>
      </c>
      <c r="F22" s="18" t="n">
        <f aca="false">F21/F14</f>
        <v>0.202857142857143</v>
      </c>
      <c r="G22" s="18" t="n">
        <f aca="false">G21/G14</f>
        <v>0.388571428571429</v>
      </c>
      <c r="H22" s="18" t="n">
        <f aca="false">H21/H14</f>
        <v>0.540952380952381</v>
      </c>
    </row>
    <row r="23" customFormat="false" ht="15" hidden="false" customHeight="false" outlineLevel="0" collapsed="false">
      <c r="A23" s="16" t="s">
        <v>24</v>
      </c>
      <c r="B23" s="4"/>
      <c r="C23" s="17" t="n">
        <f aca="false">C17*C8+C18</f>
        <v>75000</v>
      </c>
      <c r="D23" s="17" t="n">
        <f aca="false">D17*D8+D18</f>
        <v>114000</v>
      </c>
      <c r="E23" s="17" t="n">
        <f aca="false">E17*E8+E18</f>
        <v>242000</v>
      </c>
      <c r="F23" s="17" t="n">
        <f aca="false">F17*F8+F18</f>
        <v>139500</v>
      </c>
      <c r="G23" s="17" t="n">
        <f aca="false">G17*G8+G18</f>
        <v>214000</v>
      </c>
      <c r="H23" s="17" t="n">
        <f aca="false">H17*H8+H18</f>
        <v>482000</v>
      </c>
    </row>
    <row r="24" customFormat="false" ht="15" hidden="false" customHeight="false" outlineLevel="0" collapsed="false">
      <c r="A24" s="12" t="s">
        <v>25</v>
      </c>
      <c r="B24" s="4"/>
      <c r="C24" s="15" t="n">
        <f aca="false">C14*C8</f>
        <v>80000</v>
      </c>
      <c r="D24" s="15" t="n">
        <f aca="false">D14*D8</f>
        <v>160000</v>
      </c>
      <c r="E24" s="15" t="n">
        <f aca="false">E14*E8</f>
        <v>480000</v>
      </c>
      <c r="F24" s="15" t="n">
        <f aca="false">F14*F8</f>
        <v>175000</v>
      </c>
      <c r="G24" s="15" t="n">
        <f aca="false">G14*G8</f>
        <v>350000</v>
      </c>
      <c r="H24" s="15" t="n">
        <f aca="false">H14*H8</f>
        <v>1050000</v>
      </c>
    </row>
    <row r="25" customFormat="false" ht="15" hidden="false" customHeight="false" outlineLevel="0" collapsed="false">
      <c r="A25" s="16" t="s">
        <v>26</v>
      </c>
      <c r="B25" s="4"/>
      <c r="C25" s="17" t="n">
        <f aca="false">C24-C23</f>
        <v>5000</v>
      </c>
      <c r="D25" s="17" t="n">
        <f aca="false">D24-D23</f>
        <v>46000</v>
      </c>
      <c r="E25" s="17" t="n">
        <f aca="false">E24-E23</f>
        <v>238000</v>
      </c>
      <c r="F25" s="17" t="n">
        <f aca="false">F24-F23</f>
        <v>35500</v>
      </c>
      <c r="G25" s="17" t="n">
        <f aca="false">G24-G23</f>
        <v>136000</v>
      </c>
      <c r="H25" s="17" t="n">
        <f aca="false">H24-H23</f>
        <v>568000</v>
      </c>
    </row>
    <row r="26" customFormat="false" ht="15" hidden="false" customHeight="false" outlineLevel="0" collapsed="false">
      <c r="A26" s="12" t="s">
        <v>27</v>
      </c>
      <c r="B26" s="4"/>
      <c r="C26" s="19" t="n">
        <f aca="false">ROUNDUP(C23/C14,0)</f>
        <v>47</v>
      </c>
      <c r="D26" s="19" t="n">
        <f aca="false">ROUNDUP(D23/D14,0)</f>
        <v>72</v>
      </c>
      <c r="E26" s="19" t="n">
        <f aca="false">ROUNDUP(E23/E14,0)</f>
        <v>152</v>
      </c>
      <c r="F26" s="19" t="n">
        <f aca="false">ROUNDUP(F23/F14,0)</f>
        <v>40</v>
      </c>
      <c r="G26" s="19" t="n">
        <f aca="false">ROUNDUP(G23/G14,0)</f>
        <v>62</v>
      </c>
      <c r="H26" s="19" t="n">
        <f aca="false">ROUNDUP(H23/H14,0)</f>
        <v>138</v>
      </c>
    </row>
    <row r="28" customFormat="false" ht="15" hidden="false" customHeight="false" outlineLevel="0" collapsed="false">
      <c r="A28" s="20" t="s">
        <v>28</v>
      </c>
    </row>
    <row r="29" customFormat="false" ht="25.5" hidden="false" customHeight="true" outlineLevel="0" collapsed="false">
      <c r="A29" s="21" t="s">
        <v>29</v>
      </c>
      <c r="B29" s="21"/>
      <c r="C29" s="21"/>
      <c r="D29" s="21"/>
      <c r="E29" s="21"/>
      <c r="F29" s="21"/>
      <c r="G29" s="21"/>
      <c r="H29" s="21"/>
    </row>
    <row r="30" customFormat="false" ht="25.5" hidden="false" customHeight="true" outlineLevel="0" collapsed="false">
      <c r="A30" s="21" t="s">
        <v>30</v>
      </c>
      <c r="B30" s="21"/>
      <c r="C30" s="21"/>
      <c r="D30" s="21"/>
      <c r="E30" s="21"/>
      <c r="F30" s="21"/>
      <c r="G30" s="21"/>
      <c r="H30" s="21"/>
    </row>
    <row r="31" customFormat="false" ht="25.5" hidden="false" customHeight="true" outlineLevel="0" collapsed="false">
      <c r="A31" s="21" t="s">
        <v>31</v>
      </c>
      <c r="B31" s="21"/>
      <c r="C31" s="21"/>
      <c r="D31" s="21"/>
      <c r="E31" s="21"/>
      <c r="F31" s="21"/>
      <c r="G31" s="21"/>
      <c r="H31" s="21"/>
    </row>
    <row r="32" customFormat="false" ht="25.5" hidden="false" customHeight="true" outlineLevel="0" collapsed="false">
      <c r="A32" s="21" t="s">
        <v>32</v>
      </c>
      <c r="B32" s="21"/>
      <c r="C32" s="21"/>
      <c r="D32" s="21"/>
      <c r="E32" s="21"/>
      <c r="F32" s="21"/>
      <c r="G32" s="21"/>
      <c r="H32" s="21"/>
    </row>
    <row r="33" customFormat="false" ht="25.5" hidden="false" customHeight="true" outlineLevel="0" collapsed="false">
      <c r="A33" s="21" t="s">
        <v>33</v>
      </c>
      <c r="B33" s="21"/>
      <c r="C33" s="21"/>
      <c r="D33" s="21"/>
      <c r="E33" s="21"/>
      <c r="F33" s="21"/>
      <c r="G33" s="21"/>
      <c r="H33" s="21"/>
    </row>
    <row r="35" customFormat="false" ht="24" hidden="false" customHeight="true" outlineLevel="0" collapsed="false">
      <c r="A35" s="22" t="s">
        <v>34</v>
      </c>
      <c r="B35" s="22"/>
      <c r="C35" s="22"/>
      <c r="D35" s="22"/>
      <c r="E35" s="22"/>
      <c r="F35" s="22"/>
      <c r="G35" s="22"/>
      <c r="H35" s="22"/>
    </row>
  </sheetData>
  <mergeCells count="10">
    <mergeCell ref="A1:H1"/>
    <mergeCell ref="A2:H2"/>
    <mergeCell ref="C3:E3"/>
    <mergeCell ref="F3:H3"/>
    <mergeCell ref="A29:H29"/>
    <mergeCell ref="A30:H30"/>
    <mergeCell ref="A31:H31"/>
    <mergeCell ref="A32:H32"/>
    <mergeCell ref="A33:H33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2026-07-22T10:08:18Z</dcterms:created>
  <dc:creator>openpyxl</dc:creator>
  <dc:description/>
  <dc:language>en-US</dc:language>
  <cp:lastModifiedBy/>
  <dcterms:modified xsi:type="dcterms:W3CDTF">2026-07-22T10:08:19Z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